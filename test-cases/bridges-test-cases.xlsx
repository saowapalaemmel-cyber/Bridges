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Bridges\test-cases\"/>
    </mc:Choice>
  </mc:AlternateContent>
  <xr:revisionPtr revIDLastSave="0" documentId="13_ncr:1_{A09AAB48-744D-4046-97C5-165D75252BEF}" xr6:coauthVersionLast="47" xr6:coauthVersionMax="47" xr10:uidLastSave="{00000000-0000-0000-0000-000000000000}"/>
  <bookViews>
    <workbookView xWindow="1128" yWindow="1068" windowWidth="10092" windowHeight="8964" activeTab="1" xr2:uid="{00000000-000D-0000-FFFF-FFFF00000000}"/>
  </bookViews>
  <sheets>
    <sheet name="Index" sheetId="1" r:id="rId1"/>
    <sheet name="Checkout" sheetId="6" r:id="rId2"/>
    <sheet name="Orders" sheetId="8" r:id="rId3"/>
  </sheets>
  <calcPr calcId="191029"/>
</workbook>
</file>

<file path=xl/calcChain.xml><?xml version="1.0" encoding="utf-8"?>
<calcChain xmlns="http://schemas.openxmlformats.org/spreadsheetml/2006/main">
  <c r="B10" i="1" l="1"/>
  <c r="B19" i="8"/>
  <c r="B18" i="8"/>
  <c r="B15" i="8"/>
  <c r="B12" i="8"/>
  <c r="B23" i="6"/>
  <c r="B22" i="6"/>
  <c r="B21" i="6"/>
  <c r="B12" i="6"/>
  <c r="B11" i="6"/>
  <c r="B33" i="1"/>
  <c r="B32" i="1"/>
  <c r="B31" i="1"/>
  <c r="B30" i="1"/>
  <c r="B28" i="1"/>
  <c r="B24" i="1"/>
  <c r="B23" i="1"/>
  <c r="B22" i="1"/>
  <c r="B20" i="1"/>
  <c r="B19" i="1"/>
  <c r="B18" i="1"/>
  <c r="B17" i="1"/>
  <c r="B16" i="1"/>
  <c r="B11" i="1"/>
  <c r="B12" i="1"/>
  <c r="B13" i="1"/>
  <c r="B14" i="1"/>
  <c r="B15" i="1"/>
  <c r="B21" i="1"/>
  <c r="B25" i="1"/>
  <c r="B26" i="1"/>
  <c r="B27" i="1"/>
  <c r="B29" i="1"/>
  <c r="B17" i="8"/>
  <c r="B16" i="8"/>
  <c r="B14" i="8"/>
  <c r="B13" i="8"/>
  <c r="B11" i="8"/>
  <c r="B24" i="6"/>
  <c r="B18" i="6"/>
  <c r="B17" i="6"/>
  <c r="B16" i="6"/>
  <c r="B15" i="6"/>
  <c r="B14" i="6"/>
  <c r="B29" i="6"/>
  <c r="B28" i="6"/>
  <c r="B27" i="6"/>
  <c r="B26" i="6"/>
  <c r="B25" i="6"/>
  <c r="B20" i="6"/>
  <c r="B19" i="6"/>
  <c r="B13" i="6"/>
  <c r="B10" i="8"/>
  <c r="B10" i="6"/>
</calcChain>
</file>

<file path=xl/sharedStrings.xml><?xml version="1.0" encoding="utf-8"?>
<sst xmlns="http://schemas.openxmlformats.org/spreadsheetml/2006/main" count="448" uniqueCount="277">
  <si>
    <t xml:space="preserve">Project Name: </t>
  </si>
  <si>
    <t>Reference Document:</t>
  </si>
  <si>
    <t>Created by: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</si>
  <si>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</si>
  <si>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</si>
  <si>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</si>
  <si>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</si>
  <si>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</si>
  <si>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</si>
  <si>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</si>
  <si>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</si>
  <si>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Module Name:</t>
  </si>
  <si>
    <t>STATUS 
(PASS/FAIL)</t>
  </si>
  <si>
    <t>ACTUAL 
RESULT</t>
  </si>
  <si>
    <t>EXPECTED 
RESULT</t>
  </si>
  <si>
    <t>POST
CONDITION</t>
  </si>
  <si>
    <t>https://saowapalaemmel-cyber.github.io/Bridges/index.html</t>
  </si>
  <si>
    <t>Bridges – Food Ordering Web Application</t>
  </si>
  <si>
    <t>N/A</t>
  </si>
  <si>
    <t>Index(Home page)/Product Listing</t>
  </si>
  <si>
    <t>Saowapa Laemmel</t>
  </si>
  <si>
    <t>Page Load</t>
  </si>
  <si>
    <t>URL</t>
  </si>
  <si>
    <t>Home page is displayed</t>
  </si>
  <si>
    <t>Hero Section</t>
  </si>
  <si>
    <t>Category Filter</t>
  </si>
  <si>
    <t>Verify quantity increase</t>
  </si>
  <si>
    <t>Quantity</t>
  </si>
  <si>
    <t>Verify quantity decrease</t>
  </si>
  <si>
    <t>Verify add to cart</t>
  </si>
  <si>
    <t>Cart</t>
  </si>
  <si>
    <t>pasta</t>
  </si>
  <si>
    <t>Quantity increases by 1</t>
  </si>
  <si>
    <t>Checkout page opens</t>
  </si>
  <si>
    <t>Orders page opens</t>
  </si>
  <si>
    <t>Menu section is focused</t>
  </si>
  <si>
    <t xml:space="preserve"> </t>
  </si>
  <si>
    <t>1. Open browser
2. Enter URL
3. Press Enter</t>
  </si>
  <si>
    <t>Navigation</t>
  </si>
  <si>
    <t>Search</t>
  </si>
  <si>
    <t>User has items in cart</t>
  </si>
  <si>
    <t>Item exists in cart</t>
  </si>
  <si>
    <t>Item quantity greater than 1</t>
  </si>
  <si>
    <t>1. Open Checkout page
2. Click "+" button for an item</t>
  </si>
  <si>
    <t>1. Open Checkout page
2. Click "-" button</t>
  </si>
  <si>
    <t>Quantity = 1</t>
  </si>
  <si>
    <t>Quantity = 2</t>
  </si>
  <si>
    <t>Quantity increases by 1 and order summary recalculates correctly</t>
  </si>
  <si>
    <t>Quantity decreases by 1 and order summary recalculates correctly</t>
  </si>
  <si>
    <t>Item quantity = 1</t>
  </si>
  <si>
    <t>Any item</t>
  </si>
  <si>
    <t>Quantity = 3</t>
  </si>
  <si>
    <t>Quantity updated</t>
  </si>
  <si>
    <t>Verify user can remove item from cart</t>
  </si>
  <si>
    <t>1. Open Checkout page
2. Click Delete button</t>
  </si>
  <si>
    <t>Selected item is removed from cart and totals are recalculated</t>
  </si>
  <si>
    <t>Cart updated</t>
  </si>
  <si>
    <t>Verify all delivery options are displayed correctly</t>
  </si>
  <si>
    <t>User is on Checkout page</t>
  </si>
  <si>
    <t>1. Open Checkout page
2. Review delivery section</t>
  </si>
  <si>
    <t>Pickup, Standard, Express, Priority</t>
  </si>
  <si>
    <t>Delivery options remain available</t>
  </si>
  <si>
    <t>Selected radio button is checked and shipping cost updates correctly</t>
  </si>
  <si>
    <t>Cart Management</t>
  </si>
  <si>
    <t>All delivery options, shipping costs, and delivery times are displayed correctly 
default : Standard</t>
  </si>
  <si>
    <t>Verify order summary values are calculated correctly</t>
  </si>
  <si>
    <t>1. Open Checkout page
2. Review order summary values</t>
  </si>
  <si>
    <t>Total Before Tax = Item Total + Shipping</t>
  </si>
  <si>
    <t>Verify estimated tax is calculated correctly</t>
  </si>
  <si>
    <t>1. Open Checkout page
2. Review tax amount</t>
  </si>
  <si>
    <t>Item Total
Shipping</t>
  </si>
  <si>
    <t>Tax displayed correctly</t>
  </si>
  <si>
    <t>Verify order total is calculated correctly</t>
  </si>
  <si>
    <t>1. Open Checkout page
2. Review Order Total</t>
  </si>
  <si>
    <t xml:space="preserve">Total Before Tax,
Tax
</t>
  </si>
  <si>
    <t>Order Total = Total Before Tax + Tax</t>
  </si>
  <si>
    <t>Total displayed correctly</t>
  </si>
  <si>
    <t>Verify all labels and values are displayed correctly</t>
  </si>
  <si>
    <t>1. Open Checkout page
2. Review order summary section</t>
  </si>
  <si>
    <t>Any valid order</t>
  </si>
  <si>
    <t>Display correct labels and details:
- Correct quantities shown
- Item, Shipping &amp; Handling, Total Before Tax, Estimated Tax (10%), and Order Total are displayed accurately</t>
  </si>
  <si>
    <t>Summary remains visible</t>
  </si>
  <si>
    <t>Order Placement</t>
  </si>
  <si>
    <t>1. Open Checkout page
2. Click Place Your Order</t>
  </si>
  <si>
    <t>Valid order</t>
  </si>
  <si>
    <t>Cart is empty</t>
  </si>
  <si>
    <t>Verify error message is displayed when placing an order with an empty cart</t>
  </si>
  <si>
    <t>1. Open Checkout page
2. Verify cart is empty
3. Click Place Your Order button</t>
  </si>
  <si>
    <t>Empty cart</t>
  </si>
  <si>
    <t>Verify page title is displayed correctly</t>
  </si>
  <si>
    <t>User is on Order page</t>
  </si>
  <si>
    <t>"Your Orders" title is displayed correctly</t>
  </si>
  <si>
    <t>1. Open Order page
2. Review order details</t>
  </si>
  <si>
    <t>1. Open Order page
2. Review ordered products</t>
  </si>
  <si>
    <t>Product image, product name, and quantity are displayed correctly</t>
  </si>
  <si>
    <t>Verify Track Order button is displayed</t>
  </si>
  <si>
    <t>Track Order button is displayed for each order</t>
  </si>
  <si>
    <t>1. Open Order page
2. Click Track Order</t>
  </si>
  <si>
    <t>Existing order</t>
  </si>
  <si>
    <t>Verify Buy it again button is displayed</t>
  </si>
  <si>
    <t>Buy it again button is displayed for each ordered item</t>
  </si>
  <si>
    <t>1. Open Order page
2. Click Buy it again</t>
  </si>
  <si>
    <t>Ordered product</t>
  </si>
  <si>
    <t>Selected product is added to cart successfully</t>
  </si>
  <si>
    <t>https://saowapalaemmel-cyber.github.io/Bridges/checkout.html</t>
  </si>
  <si>
    <t>https://saowapalaemmel-cyber.github.io/Bridges/orders.html</t>
  </si>
  <si>
    <t>Home page opens</t>
  </si>
  <si>
    <t>Verify Bridges home page loads successfully</t>
  </si>
  <si>
    <t>Website URL accessible</t>
  </si>
  <si>
    <t>Home page loads without errors</t>
  </si>
  <si>
    <t>Header</t>
  </si>
  <si>
    <t>Verify all header elements are displayed</t>
  </si>
  <si>
    <t>Logo, Home, Menu, Orders, Search, Cart visible</t>
  </si>
  <si>
    <t>Header verified</t>
  </si>
  <si>
    <t>Verify Home navigation works</t>
  </si>
  <si>
    <t>Verify Menu navigation works</t>
  </si>
  <si>
    <t>Verify Orders navigation works</t>
  </si>
  <si>
    <t>Verify Cart navigation works</t>
  </si>
  <si>
    <t>Home page remains displayed</t>
  </si>
  <si>
    <t>Menu section/page displayed</t>
  </si>
  <si>
    <t>Orders page displayed</t>
  </si>
  <si>
    <t>Cart page displayed</t>
  </si>
  <si>
    <t>Hero verified</t>
  </si>
  <si>
    <t>Verify All category filter</t>
  </si>
  <si>
    <t>Verify Breakfast filter</t>
  </si>
  <si>
    <t>Verify Main Course filter</t>
  </si>
  <si>
    <t>Verify Dessert filter</t>
  </si>
  <si>
    <t>All</t>
  </si>
  <si>
    <t>Breakfast</t>
  </si>
  <si>
    <t>Dessert</t>
  </si>
  <si>
    <t>Main Course</t>
  </si>
  <si>
    <t>All products displayed</t>
  </si>
  <si>
    <t>Only breakfast items displayed</t>
  </si>
  <si>
    <t>Only main course items displayed</t>
  </si>
  <si>
    <t>Only desserts displayed</t>
  </si>
  <si>
    <t>Products shown</t>
  </si>
  <si>
    <t>Filtered list shown</t>
  </si>
  <si>
    <t>Search existing menu item</t>
  </si>
  <si>
    <t>Search completed</t>
  </si>
  <si>
    <t>Search non-existing menu item</t>
  </si>
  <si>
    <t>Home page loaded</t>
  </si>
  <si>
    <t>BurgerXYZ</t>
  </si>
  <si>
    <t>No matching results displayed</t>
  </si>
  <si>
    <t>Relevant result displayed</t>
  </si>
  <si>
    <t>Pasta</t>
  </si>
  <si>
    <t>Search with special characters</t>
  </si>
  <si>
    <t>Search with lowercase characters</t>
  </si>
  <si>
    <t>Product Card</t>
  </si>
  <si>
    <t>Verify product card information</t>
  </si>
  <si>
    <t>Card verified</t>
  </si>
  <si>
    <t>Verify minimum quantity</t>
  </si>
  <si>
    <t>Quantity &gt;1</t>
  </si>
  <si>
    <t>Quantity =1</t>
  </si>
  <si>
    <t>Quantity decreases by 1</t>
  </si>
  <si>
    <t>Quantity does not go below minimum</t>
  </si>
  <si>
    <t>Quantity validated</t>
  </si>
  <si>
    <t>1 item</t>
  </si>
  <si>
    <t>2 items</t>
  </si>
  <si>
    <t>3 items</t>
  </si>
  <si>
    <t>Multiple</t>
  </si>
  <si>
    <t>Verify multiple quantities added</t>
  </si>
  <si>
    <t>Verify multiple products added</t>
  </si>
  <si>
    <t>Item added to cart</t>
  </si>
  <si>
    <t>Cart Badge</t>
  </si>
  <si>
    <t>Verify cart count updates</t>
  </si>
  <si>
    <t>Item added</t>
  </si>
  <si>
    <t>Verify cart persists after refresh</t>
  </si>
  <si>
    <t>Cart badge updated</t>
  </si>
  <si>
    <t>Cart quantity retained</t>
  </si>
  <si>
    <t>Badge verified</t>
  </si>
  <si>
    <t>Cart retained</t>
  </si>
  <si>
    <t>Verify Checkout page loads successfully</t>
  </si>
  <si>
    <t>Cart contains items</t>
  </si>
  <si>
    <t>1. Open Checkout page</t>
  </si>
  <si>
    <t>Checkout page loads successfully</t>
  </si>
  <si>
    <t>Checkout page displayed</t>
  </si>
  <si>
    <t>Verify Checkout title displays correctly</t>
  </si>
  <si>
    <t>Checkout page loaded</t>
  </si>
  <si>
    <t>Verify Checkout item count updates according to cart quantity</t>
  </si>
  <si>
    <t>Cart contains 3 items</t>
  </si>
  <si>
    <t>Initial Cart = 3 items</t>
  </si>
  <si>
    <t>Header count updates dynamically based on current cart quantity</t>
  </si>
  <si>
    <t>Header displays correct item count</t>
  </si>
  <si>
    <t>"Checkout (X)" displayed correctly
(X matches the current total number of items in the cart)</t>
  </si>
  <si>
    <t>1. Open Checkout page
2. Observe page title</t>
  </si>
  <si>
    <t>1. Open Home page
2. Observe header</t>
  </si>
  <si>
    <t>1.Open Home page
2. Click Home</t>
  </si>
  <si>
    <t>1. Open Home page
2. Click Menu</t>
  </si>
  <si>
    <t>1. Open Home page
2. Click Orders</t>
  </si>
  <si>
    <t>1. Open Home page
2. Click Cart</t>
  </si>
  <si>
    <t>1. Open Home page
2. Observe hero section</t>
  </si>
  <si>
    <t>1. Open Home page
2. Scroll down to the categories section.
3. Click All</t>
  </si>
  <si>
    <t>1. Open Home page
2. Scroll down to the categories section.
3. Click Breakfast</t>
  </si>
  <si>
    <t>1. Open Home page
2. Scroll down to the categories section.
3. Click Main Course</t>
  </si>
  <si>
    <t>1. Open Home page
2. Scroll down to the categories section.
3. Click Dessert</t>
  </si>
  <si>
    <t>1. Open Home page
2. Enter existing menu in search bar
3. Click search icon or press Enter</t>
  </si>
  <si>
    <t>1. Open Home page
2. Enter BurgerXYZ in search bar
3. Click search icon or press Enter</t>
  </si>
  <si>
    <t>1. Open Home page
2. Enter pasta in search bar
3. Click search icon or press Enter</t>
  </si>
  <si>
    <t>1. Open Home page
2. Enter @#$% in search bar
3. Click search icon or press Enter</t>
  </si>
  <si>
    <t>1. Open Home page
2. Scroll down to menu card
3. Observe menu card</t>
  </si>
  <si>
    <t>1. Open Home page
2. Scroll down to menu card
3. Select a product and click +</t>
  </si>
  <si>
    <t>1. Open Home page
2. Scroll down to menu card
3. Select a product and click -</t>
  </si>
  <si>
    <t>1. Open Home page
2. Scroll down to menu card
3. select a product and click -</t>
  </si>
  <si>
    <t>1. Open Home page
2. Scroll down to menu card
3. Select a product and click Add To Cart</t>
  </si>
  <si>
    <t>1. Open Home page
2. Scroll down to menu card
3. Select a product and set quantitiy=3
4. click Add To Cart</t>
  </si>
  <si>
    <t>1. Open Home page
2. Scroll down to menu card
3. Select 3 product (Pasta, Steak,Nachos)
4. click Add To Cart</t>
  </si>
  <si>
    <t>1. Open Home page
2. Scroll down to menu card
3. Select a product and click Add To Cart
4. Check cart badge</t>
  </si>
  <si>
    <t>1. Open Home page
2. Scroll down to menu card
3. Select a product and click Add To Cart
4. Refresh page
5. Check cart badge</t>
  </si>
  <si>
    <t>1. Open Checkout page
2. Verify header displays "Checkout (3)"
3. Increase quantity of an item by 1
4. Verify header count updates</t>
  </si>
  <si>
    <t>Cart Item Display</t>
  </si>
  <si>
    <t>Verify product name, image, quantity, and price are displayed correctly</t>
  </si>
  <si>
    <t>Correct  product name, image, quantity and price are displayed</t>
  </si>
  <si>
    <t>1. Open Checkout page
2. Observe product name, image, quantity and price</t>
  </si>
  <si>
    <t>Name, image, quantity, and price verified</t>
  </si>
  <si>
    <t>Increase product quantity</t>
  </si>
  <si>
    <t>Decrease product quantity</t>
  </si>
  <si>
    <t>Verify quantity cannot go below 1</t>
  </si>
  <si>
    <t>Quantity remains 1 and does not become negative</t>
  </si>
  <si>
    <t>Validation verified</t>
  </si>
  <si>
    <t>Verify user can edit cart item and update quantity</t>
  </si>
  <si>
    <t>1. Open Checkout page
2. Click Edit button
3. Enter "3" in  input field
4. Click Save</t>
  </si>
  <si>
    <t>Quantity input field and save button are displayed and editable, updated to 3, and the order summary recalculates correctly</t>
  </si>
  <si>
    <t>Delivery Option</t>
  </si>
  <si>
    <t>Select Pickup option and verify Pickup shipping fee</t>
  </si>
  <si>
    <t>1. Open Checkout page
2. Select a delivery option
3.Check shipping fee</t>
  </si>
  <si>
    <t>Pickup 
฿0</t>
  </si>
  <si>
    <t>Delivery updated</t>
  </si>
  <si>
    <t>Select Standard Delivery option and verify Standard Delivery shipping fee</t>
  </si>
  <si>
    <t>Standard Delivery 
฿0</t>
  </si>
  <si>
    <t>Select Express Delivery option and verify Express Delivery shipping fee</t>
  </si>
  <si>
    <t>Express Delivery 
฿29</t>
  </si>
  <si>
    <t>Select Priority Delivery option and verify Express Delivery shipping fee</t>
  </si>
  <si>
    <t>Priority Delivery 
฿59</t>
  </si>
  <si>
    <t>Order Summary</t>
  </si>
  <si>
    <t>Tax calculated correctly</t>
  </si>
  <si>
    <t>Tax verified</t>
  </si>
  <si>
    <t>Tax 10%</t>
  </si>
  <si>
    <t>Verify Place Your Order button is clickable and successful order placement</t>
  </si>
  <si>
    <t>Order created successfully</t>
  </si>
  <si>
    <t>Order created</t>
  </si>
  <si>
    <t>Validation shown</t>
  </si>
  <si>
    <t>Order not created</t>
  </si>
  <si>
    <t>User has previous orders</t>
  </si>
  <si>
    <t>1. Open Orders page</t>
  </si>
  <si>
    <t>Orders page loads without errors</t>
  </si>
  <si>
    <t>1. Open Order page
2. Observe page title</t>
  </si>
  <si>
    <t>Order List</t>
  </si>
  <si>
    <t>Verify order cards are displayed</t>
  </si>
  <si>
    <t>User has orders</t>
  </si>
  <si>
    <t>All order cards are displayed</t>
  </si>
  <si>
    <t>Orders visible</t>
  </si>
  <si>
    <t>Order verified</t>
  </si>
  <si>
    <t>Order ID, Order date and time, Total amount, and Ordered items are displayed correctly</t>
  </si>
  <si>
    <r>
      <t xml:space="preserve">Verify </t>
    </r>
    <r>
      <rPr>
        <sz val="9"/>
        <color theme="4"/>
        <rFont val="Verdana"/>
        <family val="2"/>
      </rPr>
      <t>product</t>
    </r>
    <r>
      <rPr>
        <sz val="9"/>
        <color theme="1"/>
        <rFont val="Verdana"/>
        <family val="2"/>
      </rPr>
      <t xml:space="preserve"> information is displayed correctly</t>
    </r>
  </si>
  <si>
    <r>
      <t xml:space="preserve">Verify </t>
    </r>
    <r>
      <rPr>
        <sz val="9"/>
        <color theme="4"/>
        <rFont val="Verdana"/>
        <family val="2"/>
      </rPr>
      <t>order</t>
    </r>
    <r>
      <rPr>
        <sz val="9"/>
        <color theme="1"/>
        <rFont val="Verdana"/>
        <family val="2"/>
      </rPr>
      <t xml:space="preserve"> information is displayed correctly</t>
    </r>
  </si>
  <si>
    <t>Track Order</t>
  </si>
  <si>
    <t>Orders page loaded</t>
  </si>
  <si>
    <t>Tracking page opens for selected order, and order details are displayed correctly</t>
  </si>
  <si>
    <t>Tracking verified</t>
  </si>
  <si>
    <t>Buy Again</t>
  </si>
  <si>
    <t>1. Open Order page
2. Observe order card</t>
  </si>
  <si>
    <t>Button verified</t>
  </si>
  <si>
    <t>1. Open Order page
2. Observe item card</t>
  </si>
  <si>
    <t>Verify item is added to cart after clicking Buy it again</t>
  </si>
  <si>
    <t>Verify user navigates to Tracking page after clicking Track Order button</t>
  </si>
  <si>
    <t>Verify cart badge updates after Buy it again</t>
  </si>
  <si>
    <t>Cart Icon</t>
  </si>
  <si>
    <t>Cart count updates immediately</t>
  </si>
  <si>
    <t>Badge updated</t>
  </si>
  <si>
    <t>Verify order page loads successfully</t>
  </si>
  <si>
    <t>Verify hero section content displayed correctly</t>
  </si>
  <si>
    <t>Heading, description and images displayed correctly</t>
  </si>
  <si>
    <t>Only menu items matching the search keyword are displayed in the results</t>
  </si>
  <si>
    <t>@pasta</t>
  </si>
  <si>
    <t>Image, flag, name, price, description, rating displayed correctly</t>
  </si>
  <si>
    <t>multiple products added</t>
  </si>
  <si>
    <t>multiple quantities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</si>
</sst>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20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theme="4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20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 wrapText="1"/>
    </xf>
    <xf numFmtId="0" fontId="22" fillId="33" borderId="14" xfId="0" applyFont="1" applyFill="1" applyBorder="1" applyAlignment="1">
      <alignment horizontal="left" vertical="top" wrapText="1"/>
    </xf>
    <xf numFmtId="0" fontId="22" fillId="33" borderId="14" xfId="0" applyFont="1" applyFill="1" applyBorder="1" applyAlignment="1">
      <alignment vertical="center" wrapText="1"/>
    </xf>
    <xf numFmtId="0" fontId="22" fillId="33" borderId="14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left" vertical="top"/>
    </xf>
    <xf numFmtId="0" fontId="22" fillId="33" borderId="10" xfId="0" applyFont="1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/>
    </xf>
    <xf numFmtId="0" fontId="22" fillId="33" borderId="14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/>
    </xf>
    <xf numFmtId="0" fontId="22" fillId="33" borderId="10" xfId="0" quotePrefix="1" applyFont="1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left" vertical="top"/>
    </xf>
    <xf numFmtId="0" fontId="22" fillId="33" borderId="10" xfId="0" quotePrefix="1" applyFont="1" applyFill="1" applyBorder="1" applyAlignment="1">
      <alignment horizontal="left" vertical="top"/>
    </xf>
    <xf numFmtId="0" fontId="19" fillId="33" borderId="10" xfId="42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left"/>
    </xf>
    <xf numFmtId="0" fontId="21" fillId="33" borderId="11" xfId="0" applyFont="1" applyFill="1" applyBorder="1" applyAlignment="1">
      <alignment horizontal="left"/>
    </xf>
    <xf numFmtId="0" fontId="21" fillId="33" borderId="12" xfId="0" applyFont="1" applyFill="1" applyBorder="1" applyAlignment="1">
      <alignment horizontal="left"/>
    </xf>
    <xf numFmtId="0" fontId="21" fillId="33" borderId="13" xfId="0" applyFont="1" applyFill="1" applyBorder="1" applyAlignment="1">
      <alignment horizontal="left"/>
    </xf>
    <xf numFmtId="0" fontId="19" fillId="33" borderId="10" xfId="42" applyFill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15" fontId="21" fillId="33" borderId="10" xfId="0" applyNumberFormat="1" applyFont="1" applyFill="1" applyBorder="1" applyAlignment="1">
      <alignment horizontal="left"/>
    </xf>
    <xf numFmtId="0" fontId="19" fillId="33" borderId="15" xfId="42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Hyperlink" xfId="42" builtinId="8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aowapalaemmel-cyber.github.io/Bridges/index.html" TargetMode="External"/><Relationship Id="rId1" Type="http://schemas.openxmlformats.org/officeDocument/2006/relationships/hyperlink" Target="https://saowapalaemmel-cyber.github.io/Bridges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aowapalaemmel-cyber.github.io/Bridges/checkout.html" TargetMode="External"/><Relationship Id="rId1" Type="http://schemas.openxmlformats.org/officeDocument/2006/relationships/hyperlink" Target="https://saowapalaemmel-cyber.github.io/Bridges/checkou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aowapalaemmel-cyber.github.io/Bridges/orders.html" TargetMode="External"/><Relationship Id="rId1" Type="http://schemas.openxmlformats.org/officeDocument/2006/relationships/hyperlink" Target="https://saowapalaemmel-cyber.github.io/Bridges/ord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topLeftCell="D32" zoomScale="90" zoomScaleNormal="90" workbookViewId="0">
      <selection activeCell="D33" sqref="D33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32.3984375" style="1" customWidth="1"/>
    <col min="7" max="7" width="20.296875" style="1" customWidth="1"/>
    <col min="8" max="8" width="27.59765625" style="1" customWidth="1"/>
    <col min="9" max="9" width="15.8984375" style="1" bestFit="1" customWidth="1"/>
    <col min="10" max="10" width="10.8984375" style="1" bestFit="1" customWidth="1"/>
    <col min="11" max="11" width="10.8984375" style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0" t="s">
        <v>16</v>
      </c>
      <c r="I2" s="21"/>
      <c r="J2" s="21"/>
      <c r="K2" s="2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21"/>
      <c r="I3" s="21"/>
      <c r="J3" s="21"/>
      <c r="K3" s="21"/>
    </row>
    <row r="4" spans="2:11" x14ac:dyDescent="0.25">
      <c r="B4" s="22" t="s">
        <v>1</v>
      </c>
      <c r="C4" s="22"/>
      <c r="D4" s="26" t="s">
        <v>16</v>
      </c>
      <c r="E4" s="27"/>
      <c r="F4" s="27"/>
      <c r="G4" s="27"/>
      <c r="H4" s="21"/>
      <c r="I4" s="21"/>
      <c r="J4" s="21"/>
      <c r="K4" s="21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21"/>
      <c r="I5" s="21"/>
      <c r="J5" s="21"/>
      <c r="K5" s="21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21"/>
      <c r="I6" s="21"/>
      <c r="J6" s="21"/>
      <c r="K6" s="21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21"/>
      <c r="I7" s="21"/>
      <c r="J7" s="21"/>
      <c r="K7" s="21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34.200000000000003" x14ac:dyDescent="0.25">
      <c r="B10" s="7" t="str">
        <f>IF(D10&lt;&gt;"","TC_IDX_"&amp;TEXT(COUNTIF($D$10:D10,"&lt;&gt;"),"000"),"")</f>
        <v>TC_IDX_001</v>
      </c>
      <c r="C10" s="6" t="s">
        <v>21</v>
      </c>
      <c r="D10" s="5" t="s">
        <v>107</v>
      </c>
      <c r="E10" s="5" t="s">
        <v>108</v>
      </c>
      <c r="F10" s="11" t="s">
        <v>37</v>
      </c>
      <c r="G10" s="18" t="s">
        <v>22</v>
      </c>
      <c r="H10" s="11" t="s">
        <v>109</v>
      </c>
      <c r="I10" s="11" t="s">
        <v>23</v>
      </c>
      <c r="J10" s="8"/>
      <c r="K10" s="9"/>
    </row>
    <row r="11" spans="2:11" ht="22.8" x14ac:dyDescent="0.25">
      <c r="B11" s="7" t="str">
        <f>IF(D11&lt;&gt;"","TC_IDX_"&amp;TEXT(COUNTIF($D$10:D11,"&lt;&gt;"),"000"),"")</f>
        <v>TC_IDX_002</v>
      </c>
      <c r="C11" s="8" t="s">
        <v>110</v>
      </c>
      <c r="D11" s="11" t="s">
        <v>111</v>
      </c>
      <c r="E11" s="11" t="s">
        <v>140</v>
      </c>
      <c r="F11" s="11" t="s">
        <v>185</v>
      </c>
      <c r="G11" s="18" t="s">
        <v>18</v>
      </c>
      <c r="H11" s="11" t="s">
        <v>112</v>
      </c>
      <c r="I11" s="11" t="s">
        <v>113</v>
      </c>
      <c r="J11" s="8"/>
      <c r="K11" s="9"/>
    </row>
    <row r="12" spans="2:11" ht="22.8" x14ac:dyDescent="0.25">
      <c r="B12" s="7" t="str">
        <f>IF(D12&lt;&gt;"","TC_IDX_"&amp;TEXT(COUNTIF($D$10:D12,"&lt;&gt;"),"000"),"")</f>
        <v>TC_IDX_003</v>
      </c>
      <c r="C12" s="8" t="s">
        <v>38</v>
      </c>
      <c r="D12" s="11" t="s">
        <v>114</v>
      </c>
      <c r="E12" s="11" t="s">
        <v>140</v>
      </c>
      <c r="F12" s="11" t="s">
        <v>186</v>
      </c>
      <c r="G12" s="18" t="s">
        <v>18</v>
      </c>
      <c r="H12" s="11" t="s">
        <v>118</v>
      </c>
      <c r="I12" s="11" t="s">
        <v>106</v>
      </c>
      <c r="J12" s="8"/>
      <c r="K12" s="9"/>
    </row>
    <row r="13" spans="2:11" ht="22.8" x14ac:dyDescent="0.25">
      <c r="B13" s="7" t="str">
        <f>IF(D13&lt;&gt;"","TC_IDX_"&amp;TEXT(COUNTIF($D$10:D13,"&lt;&gt;"),"000"),"")</f>
        <v>TC_IDX_004</v>
      </c>
      <c r="C13" s="8" t="s">
        <v>38</v>
      </c>
      <c r="D13" s="11" t="s">
        <v>115</v>
      </c>
      <c r="E13" s="11" t="s">
        <v>140</v>
      </c>
      <c r="F13" s="11" t="s">
        <v>187</v>
      </c>
      <c r="G13" s="18" t="s">
        <v>18</v>
      </c>
      <c r="H13" s="11" t="s">
        <v>119</v>
      </c>
      <c r="I13" s="11" t="s">
        <v>35</v>
      </c>
      <c r="J13" s="8"/>
      <c r="K13" s="9"/>
    </row>
    <row r="14" spans="2:11" ht="22.8" x14ac:dyDescent="0.25">
      <c r="B14" s="7" t="str">
        <f>IF(D14&lt;&gt;"","TC_IDX_"&amp;TEXT(COUNTIF($D$10:D14,"&lt;&gt;"),"000"),"")</f>
        <v>TC_IDX_005</v>
      </c>
      <c r="C14" s="8" t="s">
        <v>38</v>
      </c>
      <c r="D14" s="11" t="s">
        <v>116</v>
      </c>
      <c r="E14" s="11" t="s">
        <v>140</v>
      </c>
      <c r="F14" s="11" t="s">
        <v>188</v>
      </c>
      <c r="G14" s="18" t="s">
        <v>18</v>
      </c>
      <c r="H14" s="11" t="s">
        <v>120</v>
      </c>
      <c r="I14" s="11" t="s">
        <v>34</v>
      </c>
      <c r="J14" s="8"/>
      <c r="K14" s="9"/>
    </row>
    <row r="15" spans="2:11" ht="22.8" x14ac:dyDescent="0.25">
      <c r="B15" s="7" t="str">
        <f>IF(D15&lt;&gt;"","TC_IDX_"&amp;TEXT(COUNTIF($D$10:D15,"&lt;&gt;"),"000"),"")</f>
        <v>TC_IDX_006</v>
      </c>
      <c r="C15" s="8" t="s">
        <v>38</v>
      </c>
      <c r="D15" s="11" t="s">
        <v>117</v>
      </c>
      <c r="E15" s="11" t="s">
        <v>140</v>
      </c>
      <c r="F15" s="11" t="s">
        <v>189</v>
      </c>
      <c r="G15" s="18" t="s">
        <v>18</v>
      </c>
      <c r="H15" s="11" t="s">
        <v>121</v>
      </c>
      <c r="I15" s="11" t="s">
        <v>33</v>
      </c>
      <c r="J15" s="8"/>
      <c r="K15" s="9"/>
    </row>
    <row r="16" spans="2:11" ht="47.4" customHeight="1" x14ac:dyDescent="0.25">
      <c r="B16" s="7" t="str">
        <f>IF(D16&lt;&gt;"","TC_IDX_"&amp;TEXT(COUNTIF($D$10:D16,"&lt;&gt;"),"000"),"")</f>
        <v>TC_IDX_007</v>
      </c>
      <c r="C16" s="8" t="s">
        <v>24</v>
      </c>
      <c r="D16" s="11" t="s">
        <v>270</v>
      </c>
      <c r="E16" s="11" t="s">
        <v>140</v>
      </c>
      <c r="F16" s="11" t="s">
        <v>190</v>
      </c>
      <c r="G16" s="18" t="s">
        <v>18</v>
      </c>
      <c r="H16" s="11" t="s">
        <v>271</v>
      </c>
      <c r="I16" s="11" t="s">
        <v>122</v>
      </c>
      <c r="J16" s="8"/>
      <c r="K16" s="9"/>
    </row>
    <row r="17" spans="2:12" ht="34.200000000000003" x14ac:dyDescent="0.25">
      <c r="B17" s="7" t="str">
        <f>IF(D17&lt;&gt;"","TC_IDX_"&amp;TEXT(COUNTIF($D$10:D17,"&lt;&gt;"),"000"),"")</f>
        <v>TC_IDX_008</v>
      </c>
      <c r="C17" s="8" t="s">
        <v>25</v>
      </c>
      <c r="D17" s="11" t="s">
        <v>123</v>
      </c>
      <c r="E17" s="11" t="s">
        <v>140</v>
      </c>
      <c r="F17" s="11" t="s">
        <v>191</v>
      </c>
      <c r="G17" s="12" t="s">
        <v>127</v>
      </c>
      <c r="H17" s="11" t="s">
        <v>131</v>
      </c>
      <c r="I17" s="11" t="s">
        <v>135</v>
      </c>
      <c r="J17" s="2"/>
      <c r="K17" s="9"/>
    </row>
    <row r="18" spans="2:12" ht="34.200000000000003" x14ac:dyDescent="0.25">
      <c r="B18" s="7" t="str">
        <f>IF(D18&lt;&gt;"","TC_IDX_"&amp;TEXT(COUNTIF($D$10:D18,"&lt;&gt;"),"000"),"")</f>
        <v>TC_IDX_009</v>
      </c>
      <c r="C18" s="8" t="s">
        <v>25</v>
      </c>
      <c r="D18" s="11" t="s">
        <v>124</v>
      </c>
      <c r="E18" s="11" t="s">
        <v>140</v>
      </c>
      <c r="F18" s="11" t="s">
        <v>192</v>
      </c>
      <c r="G18" s="10" t="s">
        <v>128</v>
      </c>
      <c r="H18" s="11" t="s">
        <v>132</v>
      </c>
      <c r="I18" s="11" t="s">
        <v>136</v>
      </c>
      <c r="J18" s="8"/>
      <c r="K18" s="9"/>
    </row>
    <row r="19" spans="2:12" ht="34.200000000000003" x14ac:dyDescent="0.25">
      <c r="B19" s="7" t="str">
        <f>IF(D19&lt;&gt;"","TC_IDX_"&amp;TEXT(COUNTIF($D$10:D19,"&lt;&gt;"),"000"),"")</f>
        <v>TC_IDX_010</v>
      </c>
      <c r="C19" s="8" t="s">
        <v>25</v>
      </c>
      <c r="D19" s="11" t="s">
        <v>125</v>
      </c>
      <c r="E19" s="11" t="s">
        <v>140</v>
      </c>
      <c r="F19" s="11" t="s">
        <v>193</v>
      </c>
      <c r="G19" s="10" t="s">
        <v>130</v>
      </c>
      <c r="H19" s="11" t="s">
        <v>133</v>
      </c>
      <c r="I19" s="11" t="s">
        <v>136</v>
      </c>
      <c r="J19" s="8"/>
      <c r="K19" s="9"/>
    </row>
    <row r="20" spans="2:12" ht="34.200000000000003" x14ac:dyDescent="0.25">
      <c r="B20" s="7" t="str">
        <f>IF(D20&lt;&gt;"","TC_IDX_"&amp;TEXT(COUNTIF($D$10:D20,"&lt;&gt;"),"000"),"")</f>
        <v>TC_IDX_011</v>
      </c>
      <c r="C20" s="8" t="s">
        <v>25</v>
      </c>
      <c r="D20" s="11" t="s">
        <v>126</v>
      </c>
      <c r="E20" s="11" t="s">
        <v>140</v>
      </c>
      <c r="F20" s="11" t="s">
        <v>194</v>
      </c>
      <c r="G20" s="10" t="s">
        <v>129</v>
      </c>
      <c r="H20" s="11" t="s">
        <v>134</v>
      </c>
      <c r="I20" s="11" t="s">
        <v>136</v>
      </c>
      <c r="J20" s="8"/>
      <c r="K20" s="9"/>
      <c r="L20" s="1" t="s">
        <v>36</v>
      </c>
    </row>
    <row r="21" spans="2:12" ht="34.200000000000003" x14ac:dyDescent="0.25">
      <c r="B21" s="7" t="str">
        <f>IF(D21&lt;&gt;"","TC_IDX_"&amp;TEXT(COUNTIF($D$10:D21,"&lt;&gt;"),"000"),"")</f>
        <v>TC_IDX_012</v>
      </c>
      <c r="C21" s="8" t="s">
        <v>39</v>
      </c>
      <c r="D21" s="11" t="s">
        <v>137</v>
      </c>
      <c r="E21" s="11" t="s">
        <v>140</v>
      </c>
      <c r="F21" s="11" t="s">
        <v>195</v>
      </c>
      <c r="G21" s="10" t="s">
        <v>144</v>
      </c>
      <c r="H21" s="11" t="s">
        <v>272</v>
      </c>
      <c r="I21" s="11" t="s">
        <v>138</v>
      </c>
      <c r="J21" s="8"/>
      <c r="K21" s="9"/>
    </row>
    <row r="22" spans="2:12" ht="34.200000000000003" x14ac:dyDescent="0.25">
      <c r="B22" s="7" t="str">
        <f>IF(D22&lt;&gt;"","TC_IDX_"&amp;TEXT(COUNTIF($D$10:D22,"&lt;&gt;"),"000"),"")</f>
        <v>TC_IDX_013</v>
      </c>
      <c r="C22" s="8" t="s">
        <v>39</v>
      </c>
      <c r="D22" s="11" t="s">
        <v>139</v>
      </c>
      <c r="E22" s="11" t="s">
        <v>140</v>
      </c>
      <c r="F22" s="11" t="s">
        <v>196</v>
      </c>
      <c r="G22" s="10" t="s">
        <v>141</v>
      </c>
      <c r="H22" s="11" t="s">
        <v>142</v>
      </c>
      <c r="I22" s="11" t="s">
        <v>138</v>
      </c>
      <c r="J22" s="8"/>
      <c r="K22" s="9"/>
    </row>
    <row r="23" spans="2:12" ht="34.200000000000003" x14ac:dyDescent="0.25">
      <c r="B23" s="7" t="str">
        <f>IF(D23&lt;&gt;"","TC_IDX_"&amp;TEXT(COUNTIF($D$10:D23,"&lt;&gt;"),"000"),"")</f>
        <v>TC_IDX_014</v>
      </c>
      <c r="C23" s="8" t="s">
        <v>39</v>
      </c>
      <c r="D23" s="11" t="s">
        <v>146</v>
      </c>
      <c r="E23" s="11" t="s">
        <v>140</v>
      </c>
      <c r="F23" s="11" t="s">
        <v>197</v>
      </c>
      <c r="G23" s="10" t="s">
        <v>31</v>
      </c>
      <c r="H23" s="11" t="s">
        <v>142</v>
      </c>
      <c r="I23" s="11" t="s">
        <v>138</v>
      </c>
      <c r="J23" s="8"/>
      <c r="K23" s="9"/>
    </row>
    <row r="24" spans="2:12" ht="34.200000000000003" x14ac:dyDescent="0.25">
      <c r="B24" s="7" t="str">
        <f>IF(D24&lt;&gt;"","TC_IDX_"&amp;TEXT(COUNTIF($D$10:D24,"&lt;&gt;"),"000"),"")</f>
        <v>TC_IDX_015</v>
      </c>
      <c r="C24" s="8" t="s">
        <v>39</v>
      </c>
      <c r="D24" s="11" t="s">
        <v>145</v>
      </c>
      <c r="E24" s="11" t="s">
        <v>140</v>
      </c>
      <c r="F24" s="11" t="s">
        <v>198</v>
      </c>
      <c r="G24" s="19" t="s">
        <v>273</v>
      </c>
      <c r="H24" s="11" t="s">
        <v>143</v>
      </c>
      <c r="I24" s="11" t="s">
        <v>138</v>
      </c>
      <c r="J24" s="8"/>
      <c r="K24" s="9"/>
    </row>
    <row r="25" spans="2:12" ht="34.200000000000003" customHeight="1" x14ac:dyDescent="0.25">
      <c r="B25" s="7" t="str">
        <f>IF(D25&lt;&gt;"","TC_IDX_"&amp;TEXT(COUNTIF($D$10:D25,"&lt;&gt;"),"000"),"")</f>
        <v>TC_IDX_016</v>
      </c>
      <c r="C25" s="8" t="s">
        <v>147</v>
      </c>
      <c r="D25" s="11" t="s">
        <v>148</v>
      </c>
      <c r="E25" s="11" t="s">
        <v>140</v>
      </c>
      <c r="F25" s="11" t="s">
        <v>199</v>
      </c>
      <c r="G25" s="18" t="s">
        <v>18</v>
      </c>
      <c r="H25" s="11" t="s">
        <v>274</v>
      </c>
      <c r="I25" s="11" t="s">
        <v>149</v>
      </c>
      <c r="J25" s="8"/>
      <c r="K25" s="9"/>
    </row>
    <row r="26" spans="2:12" ht="34.200000000000003" x14ac:dyDescent="0.25">
      <c r="B26" s="7" t="str">
        <f>IF(D26&lt;&gt;"","TC_IDX_"&amp;TEXT(COUNTIF($D$10:D26,"&lt;&gt;"),"000"),"")</f>
        <v>TC_IDX_017</v>
      </c>
      <c r="C26" s="8" t="s">
        <v>27</v>
      </c>
      <c r="D26" s="11" t="s">
        <v>26</v>
      </c>
      <c r="E26" s="11" t="s">
        <v>140</v>
      </c>
      <c r="F26" s="11" t="s">
        <v>200</v>
      </c>
      <c r="G26" s="10" t="s">
        <v>156</v>
      </c>
      <c r="H26" s="11" t="s">
        <v>32</v>
      </c>
      <c r="I26" s="11" t="s">
        <v>52</v>
      </c>
      <c r="J26" s="8"/>
      <c r="K26" s="9"/>
    </row>
    <row r="27" spans="2:12" ht="34.200000000000003" x14ac:dyDescent="0.25">
      <c r="B27" s="7" t="str">
        <f>IF(D27&lt;&gt;"","TC_IDX_"&amp;TEXT(COUNTIF($D$10:D27,"&lt;&gt;"),"000"),"")</f>
        <v>TC_IDX_018</v>
      </c>
      <c r="C27" s="8" t="s">
        <v>27</v>
      </c>
      <c r="D27" s="11" t="s">
        <v>28</v>
      </c>
      <c r="E27" s="11" t="s">
        <v>151</v>
      </c>
      <c r="F27" s="11" t="s">
        <v>201</v>
      </c>
      <c r="G27" s="10" t="s">
        <v>157</v>
      </c>
      <c r="H27" s="11" t="s">
        <v>153</v>
      </c>
      <c r="I27" s="11" t="s">
        <v>52</v>
      </c>
      <c r="J27" s="8"/>
      <c r="K27" s="9"/>
    </row>
    <row r="28" spans="2:12" ht="34.200000000000003" x14ac:dyDescent="0.25">
      <c r="B28" s="7" t="str">
        <f>IF(D28&lt;&gt;"","TC_IDX_"&amp;TEXT(COUNTIF($D$10:D28,"&lt;&gt;"),"000"),"")</f>
        <v>TC_IDX_019</v>
      </c>
      <c r="C28" s="8" t="s">
        <v>27</v>
      </c>
      <c r="D28" s="11" t="s">
        <v>150</v>
      </c>
      <c r="E28" s="11" t="s">
        <v>152</v>
      </c>
      <c r="F28" s="11" t="s">
        <v>202</v>
      </c>
      <c r="G28" s="10" t="s">
        <v>156</v>
      </c>
      <c r="H28" s="11" t="s">
        <v>154</v>
      </c>
      <c r="I28" s="11" t="s">
        <v>155</v>
      </c>
      <c r="J28" s="8"/>
      <c r="K28" s="9"/>
    </row>
    <row r="29" spans="2:12" ht="34.200000000000003" x14ac:dyDescent="0.25">
      <c r="B29" s="7" t="str">
        <f>IF(D29&lt;&gt;"","TC_IDX_"&amp;TEXT(COUNTIF($D$10:D29,"&lt;&gt;"),"000"),"")</f>
        <v>TC_IDX_020</v>
      </c>
      <c r="C29" s="8" t="s">
        <v>30</v>
      </c>
      <c r="D29" s="11" t="s">
        <v>29</v>
      </c>
      <c r="E29" s="11" t="s">
        <v>140</v>
      </c>
      <c r="F29" s="11" t="s">
        <v>203</v>
      </c>
      <c r="G29" s="10" t="s">
        <v>156</v>
      </c>
      <c r="H29" s="11" t="s">
        <v>162</v>
      </c>
      <c r="I29" s="11" t="s">
        <v>56</v>
      </c>
      <c r="J29" s="2"/>
      <c r="K29" s="9"/>
    </row>
    <row r="30" spans="2:12" ht="45.6" x14ac:dyDescent="0.25">
      <c r="B30" s="9" t="str">
        <f>IF(D30&lt;&gt;"","TC_IDX_"&amp;TEXT(COUNTIF($D$10:D30,"&lt;&gt;"),"000"),"")</f>
        <v>TC_IDX_021</v>
      </c>
      <c r="C30" s="8" t="s">
        <v>30</v>
      </c>
      <c r="D30" s="11" t="s">
        <v>160</v>
      </c>
      <c r="E30" s="11" t="s">
        <v>140</v>
      </c>
      <c r="F30" s="11" t="s">
        <v>204</v>
      </c>
      <c r="G30" s="10" t="s">
        <v>158</v>
      </c>
      <c r="H30" s="11" t="s">
        <v>276</v>
      </c>
      <c r="I30" s="11" t="s">
        <v>56</v>
      </c>
      <c r="J30" s="8"/>
      <c r="K30" s="9"/>
    </row>
    <row r="31" spans="2:12" ht="57" x14ac:dyDescent="0.25">
      <c r="B31" s="9" t="str">
        <f>IF(D31&lt;&gt;"","TC_IDX_"&amp;TEXT(COUNTIF($D$10:D31,"&lt;&gt;"),"000"),"")</f>
        <v>TC_IDX_022</v>
      </c>
      <c r="C31" s="8" t="s">
        <v>30</v>
      </c>
      <c r="D31" s="11" t="s">
        <v>161</v>
      </c>
      <c r="E31" s="11" t="s">
        <v>140</v>
      </c>
      <c r="F31" s="11" t="s">
        <v>205</v>
      </c>
      <c r="G31" s="10" t="s">
        <v>159</v>
      </c>
      <c r="H31" s="11" t="s">
        <v>275</v>
      </c>
      <c r="I31" s="11" t="s">
        <v>56</v>
      </c>
      <c r="J31" s="2"/>
      <c r="K31" s="9"/>
    </row>
    <row r="32" spans="2:12" ht="61.8" customHeight="1" x14ac:dyDescent="0.25">
      <c r="B32" s="9" t="str">
        <f>IF(D32&lt;&gt;"","TC_IDX_"&amp;TEXT(COUNTIF($D$10:D32,"&lt;&gt;"),"000"),"")</f>
        <v>TC_IDX_023</v>
      </c>
      <c r="C32" s="8" t="s">
        <v>163</v>
      </c>
      <c r="D32" s="11" t="s">
        <v>164</v>
      </c>
      <c r="E32" s="11" t="s">
        <v>165</v>
      </c>
      <c r="F32" s="11" t="s">
        <v>206</v>
      </c>
      <c r="G32" s="10" t="s">
        <v>156</v>
      </c>
      <c r="H32" s="11" t="s">
        <v>167</v>
      </c>
      <c r="I32" s="11" t="s">
        <v>169</v>
      </c>
      <c r="J32" s="2"/>
      <c r="K32" s="9"/>
    </row>
    <row r="33" spans="2:11" ht="70.8" customHeight="1" x14ac:dyDescent="0.25">
      <c r="B33" s="9" t="str">
        <f>IF(D33&lt;&gt;"","TC_IDX_"&amp;TEXT(COUNTIF($D$10:D33,"&lt;&gt;"),"000"),"")</f>
        <v>TC_IDX_024</v>
      </c>
      <c r="C33" s="8" t="s">
        <v>163</v>
      </c>
      <c r="D33" s="11" t="s">
        <v>166</v>
      </c>
      <c r="E33" s="11" t="s">
        <v>165</v>
      </c>
      <c r="F33" s="11" t="s">
        <v>207</v>
      </c>
      <c r="G33" s="10" t="s">
        <v>156</v>
      </c>
      <c r="H33" s="11" t="s">
        <v>168</v>
      </c>
      <c r="I33" s="11" t="s">
        <v>170</v>
      </c>
      <c r="J33" s="2"/>
      <c r="K33" s="9"/>
    </row>
    <row r="45" spans="2:11" x14ac:dyDescent="0.25">
      <c r="D45" s="1" t="s">
        <v>36</v>
      </c>
    </row>
  </sheetData>
  <mergeCells count="13">
    <mergeCell ref="H2:K7"/>
    <mergeCell ref="B2:C2"/>
    <mergeCell ref="B4:C4"/>
    <mergeCell ref="B5:C5"/>
    <mergeCell ref="B6:C6"/>
    <mergeCell ref="D2:G2"/>
    <mergeCell ref="B3:C3"/>
    <mergeCell ref="D3:G3"/>
    <mergeCell ref="B7:C7"/>
    <mergeCell ref="D4:G4"/>
    <mergeCell ref="D5:G5"/>
    <mergeCell ref="D6:G6"/>
    <mergeCell ref="D7:G7"/>
  </mergeCells>
  <conditionalFormatting sqref="K10:K33">
    <cfRule type="containsText" dxfId="5" priority="40" operator="containsText" text="Fail">
      <formula>NOT(ISERROR(SEARCH("Fail",K10)))</formula>
    </cfRule>
    <cfRule type="containsText" dxfId="4" priority="41" stopIfTrue="1" operator="containsText" text="Pass">
      <formula>NOT(ISERROR(SEARCH("Pass",K10)))</formula>
    </cfRule>
    <cfRule type="colorScale" priority="42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K11:K33" xr:uid="{EB7E2A42-68B2-446F-9C12-FDE4D6CB1FF3}">
      <formula1>"Pass, Fail"</formula1>
    </dataValidation>
    <dataValidation type="list" allowBlank="1" showInputMessage="1" showErrorMessage="1" sqref="K10" xr:uid="{FD5D7372-C7CA-4D78-BF66-B8D8D16E5E07}">
      <formula1>"No run, Pass, Fail"</formula1>
    </dataValidation>
  </dataValidations>
  <hyperlinks>
    <hyperlink ref="H2" r:id="rId1" xr:uid="{00000000-0004-0000-0000-000000000000}"/>
    <hyperlink ref="D4" r:id="rId2" xr:uid="{5B029A19-7F48-4D4B-B8A8-D2BF65ED00A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3B-2301-4F60-87DF-004E697C6BA6}">
  <dimension ref="B1:K40"/>
  <sheetViews>
    <sheetView tabSelected="1" topLeftCell="A8" zoomScale="80" zoomScaleNormal="80" workbookViewId="0">
      <selection activeCell="C10" sqref="C10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29.09765625" style="1" bestFit="1" customWidth="1"/>
    <col min="7" max="7" width="20.296875" style="1" customWidth="1"/>
    <col min="8" max="8" width="27.59765625" style="1" customWidth="1"/>
    <col min="9" max="9" width="16" style="1" customWidth="1"/>
    <col min="10" max="10" width="10.8984375" style="1" bestFit="1" customWidth="1"/>
    <col min="11" max="11" width="10.69921875" style="1" bestFit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9" t="s">
        <v>104</v>
      </c>
      <c r="I2" s="30"/>
      <c r="J2" s="30"/>
      <c r="K2" s="3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32"/>
      <c r="I3" s="33"/>
      <c r="J3" s="33"/>
      <c r="K3" s="34"/>
    </row>
    <row r="4" spans="2:11" x14ac:dyDescent="0.25">
      <c r="B4" s="22" t="s">
        <v>1</v>
      </c>
      <c r="C4" s="22"/>
      <c r="D4" s="26" t="s">
        <v>104</v>
      </c>
      <c r="E4" s="27"/>
      <c r="F4" s="27"/>
      <c r="G4" s="27"/>
      <c r="H4" s="32"/>
      <c r="I4" s="33"/>
      <c r="J4" s="33"/>
      <c r="K4" s="34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32"/>
      <c r="I5" s="33"/>
      <c r="J5" s="33"/>
      <c r="K5" s="34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32"/>
      <c r="I6" s="33"/>
      <c r="J6" s="33"/>
      <c r="K6" s="34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35"/>
      <c r="I7" s="36"/>
      <c r="J7" s="36"/>
      <c r="K7" s="37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22.8" x14ac:dyDescent="0.25">
      <c r="B10" s="7" t="str">
        <f>IF(D10&lt;&gt;"","TC_CHK_"&amp;TEXT(COUNTIF($D$10:D10,"&lt;&gt;"),"000"),"")</f>
        <v>TC_CHK_001</v>
      </c>
      <c r="C10" s="6" t="s">
        <v>21</v>
      </c>
      <c r="D10" s="13" t="s">
        <v>171</v>
      </c>
      <c r="E10" s="13" t="s">
        <v>172</v>
      </c>
      <c r="F10" s="14" t="s">
        <v>173</v>
      </c>
      <c r="G10" s="15" t="s">
        <v>18</v>
      </c>
      <c r="H10" s="16" t="s">
        <v>174</v>
      </c>
      <c r="I10" s="14" t="s">
        <v>175</v>
      </c>
      <c r="J10" s="8"/>
      <c r="K10" s="9"/>
    </row>
    <row r="11" spans="2:11" ht="34.200000000000003" x14ac:dyDescent="0.25">
      <c r="B11" s="7" t="str">
        <f>IF(D11&lt;&gt;"","TC_CHK_"&amp;TEXT(COUNTIF($D$10:D11,"&lt;&gt;"),"000"),"")</f>
        <v>TC_CHK_002</v>
      </c>
      <c r="C11" s="6" t="s">
        <v>110</v>
      </c>
      <c r="D11" s="13" t="s">
        <v>176</v>
      </c>
      <c r="E11" s="13" t="s">
        <v>177</v>
      </c>
      <c r="F11" s="14" t="s">
        <v>184</v>
      </c>
      <c r="G11" s="15" t="s">
        <v>18</v>
      </c>
      <c r="H11" s="16" t="s">
        <v>183</v>
      </c>
      <c r="I11" s="14" t="s">
        <v>113</v>
      </c>
      <c r="J11" s="8"/>
      <c r="K11" s="9"/>
    </row>
    <row r="12" spans="2:11" ht="102.6" customHeight="1" x14ac:dyDescent="0.25">
      <c r="B12" s="7" t="str">
        <f>IF(D12&lt;&gt;"","TC_CHK_"&amp;TEXT(COUNTIF($D$10:D12,"&lt;&gt;"),"000"),"")</f>
        <v>TC_CHK_003</v>
      </c>
      <c r="C12" s="6" t="s">
        <v>110</v>
      </c>
      <c r="D12" s="13" t="s">
        <v>178</v>
      </c>
      <c r="E12" s="13" t="s">
        <v>179</v>
      </c>
      <c r="F12" s="14" t="s">
        <v>208</v>
      </c>
      <c r="G12" s="15" t="s">
        <v>180</v>
      </c>
      <c r="H12" s="16" t="s">
        <v>181</v>
      </c>
      <c r="I12" s="14" t="s">
        <v>182</v>
      </c>
      <c r="J12" s="8"/>
      <c r="K12" s="9"/>
    </row>
    <row r="13" spans="2:11" ht="82.8" customHeight="1" x14ac:dyDescent="0.25">
      <c r="B13" s="7" t="str">
        <f>IF(D13&lt;&gt;"","TC_CHK_"&amp;TEXT(COUNTIF($D$10:D13,"&lt;&gt;"),"000"),"")</f>
        <v>TC_CHK_004</v>
      </c>
      <c r="C13" s="8" t="s">
        <v>209</v>
      </c>
      <c r="D13" s="14" t="s">
        <v>210</v>
      </c>
      <c r="E13" s="14" t="s">
        <v>177</v>
      </c>
      <c r="F13" s="14" t="s">
        <v>212</v>
      </c>
      <c r="G13" s="14" t="s">
        <v>18</v>
      </c>
      <c r="H13" s="16" t="s">
        <v>211</v>
      </c>
      <c r="I13" s="14" t="s">
        <v>213</v>
      </c>
      <c r="J13" s="8"/>
      <c r="K13" s="9"/>
    </row>
    <row r="14" spans="2:11" ht="22.8" x14ac:dyDescent="0.25">
      <c r="B14" s="7" t="str">
        <f>IF(D14&lt;&gt;"","TC_CHK_"&amp;TEXT(COUNTIF($D$10:D14,"&lt;&gt;"),"000"),"")</f>
        <v>TC_CHK_005</v>
      </c>
      <c r="C14" s="8" t="s">
        <v>63</v>
      </c>
      <c r="D14" s="14" t="s">
        <v>214</v>
      </c>
      <c r="E14" s="14" t="s">
        <v>41</v>
      </c>
      <c r="F14" s="14" t="s">
        <v>43</v>
      </c>
      <c r="G14" s="14" t="s">
        <v>45</v>
      </c>
      <c r="H14" s="16" t="s">
        <v>47</v>
      </c>
      <c r="I14" s="14" t="s">
        <v>52</v>
      </c>
      <c r="J14" s="8"/>
      <c r="K14" s="9"/>
    </row>
    <row r="15" spans="2:11" ht="22.8" x14ac:dyDescent="0.25">
      <c r="B15" s="7" t="str">
        <f>IF(D15&lt;&gt;"","TC_CHK_"&amp;TEXT(COUNTIF($D$10:D15,"&lt;&gt;"),"000"),"")</f>
        <v>TC_CHK_006</v>
      </c>
      <c r="C15" s="8" t="s">
        <v>63</v>
      </c>
      <c r="D15" s="14" t="s">
        <v>215</v>
      </c>
      <c r="E15" s="14" t="s">
        <v>42</v>
      </c>
      <c r="F15" s="14" t="s">
        <v>44</v>
      </c>
      <c r="G15" s="14" t="s">
        <v>46</v>
      </c>
      <c r="H15" s="16" t="s">
        <v>48</v>
      </c>
      <c r="I15" s="14" t="s">
        <v>52</v>
      </c>
      <c r="J15" s="8"/>
      <c r="K15" s="9"/>
    </row>
    <row r="16" spans="2:11" ht="22.8" x14ac:dyDescent="0.25">
      <c r="B16" s="7" t="str">
        <f>IF(D16&lt;&gt;"","TC_CHK_"&amp;TEXT(COUNTIF($D$10:D16,"&lt;&gt;"),"000"),"")</f>
        <v>TC_CHK_007</v>
      </c>
      <c r="C16" s="8" t="s">
        <v>63</v>
      </c>
      <c r="D16" s="14" t="s">
        <v>216</v>
      </c>
      <c r="E16" s="14" t="s">
        <v>49</v>
      </c>
      <c r="F16" s="14" t="s">
        <v>44</v>
      </c>
      <c r="G16" s="14" t="s">
        <v>45</v>
      </c>
      <c r="H16" s="16" t="s">
        <v>217</v>
      </c>
      <c r="I16" s="14" t="s">
        <v>218</v>
      </c>
      <c r="J16" s="8"/>
      <c r="K16" s="9"/>
    </row>
    <row r="17" spans="2:11" ht="77.400000000000006" customHeight="1" x14ac:dyDescent="0.25">
      <c r="B17" s="7" t="str">
        <f>IF(D17&lt;&gt;"","TC_CHK_"&amp;TEXT(COUNTIF($D$10:D17,"&lt;&gt;"),"000"),"")</f>
        <v>TC_CHK_008</v>
      </c>
      <c r="C17" s="8" t="s">
        <v>63</v>
      </c>
      <c r="D17" s="14" t="s">
        <v>219</v>
      </c>
      <c r="E17" s="14" t="s">
        <v>41</v>
      </c>
      <c r="F17" s="14" t="s">
        <v>220</v>
      </c>
      <c r="G17" s="14" t="s">
        <v>51</v>
      </c>
      <c r="H17" s="16" t="s">
        <v>221</v>
      </c>
      <c r="I17" s="14" t="s">
        <v>52</v>
      </c>
      <c r="J17" s="8"/>
      <c r="K17" s="9"/>
    </row>
    <row r="18" spans="2:11" ht="22.8" x14ac:dyDescent="0.25">
      <c r="B18" s="7" t="str">
        <f>IF(D18&lt;&gt;"","TC_CHK_"&amp;TEXT(COUNTIF($D$10:D18,"&lt;&gt;"),"000"),"")</f>
        <v>TC_CHK_009</v>
      </c>
      <c r="C18" s="8" t="s">
        <v>63</v>
      </c>
      <c r="D18" s="14" t="s">
        <v>53</v>
      </c>
      <c r="E18" s="14" t="s">
        <v>41</v>
      </c>
      <c r="F18" s="14" t="s">
        <v>54</v>
      </c>
      <c r="G18" s="14" t="s">
        <v>50</v>
      </c>
      <c r="H18" s="16" t="s">
        <v>55</v>
      </c>
      <c r="I18" s="14" t="s">
        <v>56</v>
      </c>
      <c r="J18" s="8"/>
      <c r="K18" s="9"/>
    </row>
    <row r="19" spans="2:11" ht="45.6" x14ac:dyDescent="0.25">
      <c r="B19" s="7" t="str">
        <f>IF(D19&lt;&gt;"","TC_CHK_"&amp;TEXT(COUNTIF($D$10:D19,"&lt;&gt;"),"000"),"")</f>
        <v>TC_CHK_010</v>
      </c>
      <c r="C19" s="8" t="s">
        <v>222</v>
      </c>
      <c r="D19" s="14" t="s">
        <v>57</v>
      </c>
      <c r="E19" s="14" t="s">
        <v>58</v>
      </c>
      <c r="F19" s="14" t="s">
        <v>59</v>
      </c>
      <c r="G19" s="14" t="s">
        <v>60</v>
      </c>
      <c r="H19" s="14" t="s">
        <v>64</v>
      </c>
      <c r="I19" s="14" t="s">
        <v>61</v>
      </c>
      <c r="J19" s="8"/>
      <c r="K19" s="9"/>
    </row>
    <row r="20" spans="2:11" ht="47.4" customHeight="1" x14ac:dyDescent="0.25">
      <c r="B20" s="7" t="str">
        <f>IF(D20&lt;&gt;"","TC_CHK_"&amp;TEXT(COUNTIF($D$10:D20,"&lt;&gt;"),"000"),"")</f>
        <v>TC_CHK_011</v>
      </c>
      <c r="C20" s="8" t="s">
        <v>222</v>
      </c>
      <c r="D20" s="14" t="s">
        <v>223</v>
      </c>
      <c r="E20" s="14" t="s">
        <v>58</v>
      </c>
      <c r="F20" s="14" t="s">
        <v>224</v>
      </c>
      <c r="G20" s="14" t="s">
        <v>225</v>
      </c>
      <c r="H20" s="14" t="s">
        <v>62</v>
      </c>
      <c r="I20" s="14" t="s">
        <v>226</v>
      </c>
      <c r="J20" s="8"/>
      <c r="K20" s="9"/>
    </row>
    <row r="21" spans="2:11" ht="47.4" customHeight="1" x14ac:dyDescent="0.25">
      <c r="B21" s="7" t="str">
        <f>IF(D21&lt;&gt;"","TC_CHK_"&amp;TEXT(COUNTIF($D$10:D21,"&lt;&gt;"),"000"),"")</f>
        <v>TC_CHK_012</v>
      </c>
      <c r="C21" s="8" t="s">
        <v>222</v>
      </c>
      <c r="D21" s="14" t="s">
        <v>227</v>
      </c>
      <c r="E21" s="14" t="s">
        <v>58</v>
      </c>
      <c r="F21" s="14" t="s">
        <v>224</v>
      </c>
      <c r="G21" s="14" t="s">
        <v>228</v>
      </c>
      <c r="H21" s="14" t="s">
        <v>62</v>
      </c>
      <c r="I21" s="14" t="s">
        <v>226</v>
      </c>
      <c r="J21" s="8"/>
      <c r="K21" s="9"/>
    </row>
    <row r="22" spans="2:11" ht="47.4" customHeight="1" x14ac:dyDescent="0.25">
      <c r="B22" s="7" t="str">
        <f>IF(D22&lt;&gt;"","TC_CHK_"&amp;TEXT(COUNTIF($D$10:D22,"&lt;&gt;"),"000"),"")</f>
        <v>TC_CHK_013</v>
      </c>
      <c r="C22" s="8" t="s">
        <v>222</v>
      </c>
      <c r="D22" s="14" t="s">
        <v>229</v>
      </c>
      <c r="E22" s="14" t="s">
        <v>58</v>
      </c>
      <c r="F22" s="14" t="s">
        <v>224</v>
      </c>
      <c r="G22" s="14" t="s">
        <v>230</v>
      </c>
      <c r="H22" s="14" t="s">
        <v>62</v>
      </c>
      <c r="I22" s="14" t="s">
        <v>226</v>
      </c>
      <c r="J22" s="8"/>
      <c r="K22" s="9"/>
    </row>
    <row r="23" spans="2:11" ht="47.4" customHeight="1" x14ac:dyDescent="0.25">
      <c r="B23" s="7" t="str">
        <f>IF(D23&lt;&gt;"","TC_CHK_"&amp;TEXT(COUNTIF($D$10:D23,"&lt;&gt;"),"000"),"")</f>
        <v>TC_CHK_014</v>
      </c>
      <c r="C23" s="8" t="s">
        <v>222</v>
      </c>
      <c r="D23" s="14" t="s">
        <v>231</v>
      </c>
      <c r="E23" s="14" t="s">
        <v>58</v>
      </c>
      <c r="F23" s="14" t="s">
        <v>224</v>
      </c>
      <c r="G23" s="14" t="s">
        <v>232</v>
      </c>
      <c r="H23" s="14" t="s">
        <v>62</v>
      </c>
      <c r="I23" s="14" t="s">
        <v>226</v>
      </c>
      <c r="J23" s="8"/>
      <c r="K23" s="9"/>
    </row>
    <row r="24" spans="2:11" ht="68.400000000000006" x14ac:dyDescent="0.25">
      <c r="B24" s="7" t="str">
        <f>IF(D24&lt;&gt;"","TC_CHK_"&amp;TEXT(COUNTIF($D$10:D24,"&lt;&gt;"),"000"),"")</f>
        <v>TC_CHK_015</v>
      </c>
      <c r="C24" s="8" t="s">
        <v>233</v>
      </c>
      <c r="D24" s="14" t="s">
        <v>77</v>
      </c>
      <c r="E24" s="14" t="s">
        <v>79</v>
      </c>
      <c r="F24" s="14" t="s">
        <v>78</v>
      </c>
      <c r="G24" s="15" t="s">
        <v>40</v>
      </c>
      <c r="H24" s="14" t="s">
        <v>80</v>
      </c>
      <c r="I24" s="14" t="s">
        <v>81</v>
      </c>
      <c r="J24" s="8"/>
      <c r="K24" s="9"/>
    </row>
    <row r="25" spans="2:11" ht="34.200000000000003" x14ac:dyDescent="0.25">
      <c r="B25" s="7" t="str">
        <f>IF(D25&lt;&gt;"","TC_CHK_"&amp;TEXT(COUNTIF($D$10:D25,"&lt;&gt;"),"000"),"")</f>
        <v>TC_CHK_016</v>
      </c>
      <c r="C25" s="8" t="s">
        <v>233</v>
      </c>
      <c r="D25" s="14" t="s">
        <v>65</v>
      </c>
      <c r="E25" s="14" t="s">
        <v>40</v>
      </c>
      <c r="F25" s="14" t="s">
        <v>66</v>
      </c>
      <c r="G25" s="17" t="s">
        <v>70</v>
      </c>
      <c r="H25" s="14" t="s">
        <v>67</v>
      </c>
      <c r="I25" s="14" t="s">
        <v>235</v>
      </c>
      <c r="J25" s="2"/>
      <c r="K25" s="9"/>
    </row>
    <row r="26" spans="2:11" ht="22.8" x14ac:dyDescent="0.25">
      <c r="B26" s="7" t="str">
        <f>IF(D26&lt;&gt;"","TC_CHK_"&amp;TEXT(COUNTIF($D$10:D26,"&lt;&gt;"),"000"),"")</f>
        <v>TC_CHK_017</v>
      </c>
      <c r="C26" s="8" t="s">
        <v>233</v>
      </c>
      <c r="D26" s="14" t="s">
        <v>68</v>
      </c>
      <c r="E26" s="14" t="s">
        <v>40</v>
      </c>
      <c r="F26" s="14" t="s">
        <v>69</v>
      </c>
      <c r="G26" s="15" t="s">
        <v>236</v>
      </c>
      <c r="H26" s="14" t="s">
        <v>234</v>
      </c>
      <c r="I26" s="14" t="s">
        <v>71</v>
      </c>
      <c r="J26" s="8"/>
      <c r="K26" s="9"/>
    </row>
    <row r="27" spans="2:11" ht="34.200000000000003" x14ac:dyDescent="0.25">
      <c r="B27" s="7" t="str">
        <f>IF(D27&lt;&gt;"","TC_CHK_"&amp;TEXT(COUNTIF($D$10:D27,"&lt;&gt;"),"000"),"")</f>
        <v>TC_CHK_018</v>
      </c>
      <c r="C27" s="8" t="s">
        <v>233</v>
      </c>
      <c r="D27" s="14" t="s">
        <v>72</v>
      </c>
      <c r="E27" s="14" t="s">
        <v>40</v>
      </c>
      <c r="F27" s="14" t="s">
        <v>73</v>
      </c>
      <c r="G27" s="14" t="s">
        <v>74</v>
      </c>
      <c r="H27" s="14" t="s">
        <v>75</v>
      </c>
      <c r="I27" s="14" t="s">
        <v>76</v>
      </c>
      <c r="J27" s="8"/>
      <c r="K27" s="9"/>
    </row>
    <row r="28" spans="2:11" ht="45.6" x14ac:dyDescent="0.25">
      <c r="B28" s="7" t="str">
        <f>IF(D28&lt;&gt;"","TC_CHK_"&amp;TEXT(COUNTIF($D$10:D28,"&lt;&gt;"),"000"),"")</f>
        <v>TC_CHK_019</v>
      </c>
      <c r="C28" s="8" t="s">
        <v>82</v>
      </c>
      <c r="D28" s="14" t="s">
        <v>237</v>
      </c>
      <c r="E28" s="14" t="s">
        <v>40</v>
      </c>
      <c r="F28" s="14" t="s">
        <v>83</v>
      </c>
      <c r="G28" s="15" t="s">
        <v>84</v>
      </c>
      <c r="H28" s="14" t="s">
        <v>238</v>
      </c>
      <c r="I28" s="14" t="s">
        <v>239</v>
      </c>
      <c r="J28" s="8"/>
      <c r="K28" s="9"/>
    </row>
    <row r="29" spans="2:11" ht="34.200000000000003" x14ac:dyDescent="0.25">
      <c r="B29" s="9" t="str">
        <f>IF(D29&lt;&gt;"","TC_CHK_"&amp;TEXT(COUNTIF($D$10:D29,"&lt;&gt;"),"000"),"")</f>
        <v>TC_CHK_020</v>
      </c>
      <c r="C29" s="8" t="s">
        <v>82</v>
      </c>
      <c r="D29" s="14" t="s">
        <v>86</v>
      </c>
      <c r="E29" s="14" t="s">
        <v>85</v>
      </c>
      <c r="F29" s="14" t="s">
        <v>87</v>
      </c>
      <c r="G29" s="15" t="s">
        <v>88</v>
      </c>
      <c r="H29" s="14" t="s">
        <v>241</v>
      </c>
      <c r="I29" s="14" t="s">
        <v>240</v>
      </c>
      <c r="J29" s="8"/>
      <c r="K29" s="9"/>
    </row>
    <row r="40" spans="4:4" x14ac:dyDescent="0.25">
      <c r="D40" s="1" t="s">
        <v>36</v>
      </c>
    </row>
  </sheetData>
  <mergeCells count="13"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2:C2"/>
    <mergeCell ref="D2:G2"/>
  </mergeCells>
  <conditionalFormatting sqref="K10:K29">
    <cfRule type="containsText" dxfId="3" priority="55" operator="containsText" text="Fail">
      <formula>NOT(ISERROR(SEARCH("Fail",K10)))</formula>
    </cfRule>
    <cfRule type="containsText" dxfId="2" priority="56" stopIfTrue="1" operator="containsText" text="Pass">
      <formula>NOT(ISERROR(SEARCH("Pass",K10)))</formula>
    </cfRule>
    <cfRule type="colorScale" priority="57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0:K29" xr:uid="{73FB9D7A-A5FC-4C3B-9969-FE72FF8CCA64}">
      <formula1>"Pass, Fail"</formula1>
    </dataValidation>
  </dataValidations>
  <hyperlinks>
    <hyperlink ref="H2" r:id="rId1" xr:uid="{75E50A91-F471-4391-85E9-635E0BB9EB1B}"/>
    <hyperlink ref="D4" r:id="rId2" xr:uid="{4E3B7CEA-F802-472D-85CB-461204810DCA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3188-6E15-4322-A50C-1F7E2F0EB5BC}">
  <dimension ref="B1:K31"/>
  <sheetViews>
    <sheetView topLeftCell="G12" zoomScale="80" zoomScaleNormal="80" workbookViewId="0">
      <selection activeCell="K14" sqref="K14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29.09765625" style="1" bestFit="1" customWidth="1"/>
    <col min="7" max="7" width="20.296875" style="1" customWidth="1"/>
    <col min="8" max="8" width="27.59765625" style="1" customWidth="1"/>
    <col min="9" max="9" width="16" style="1" customWidth="1"/>
    <col min="10" max="10" width="10.8984375" style="1" bestFit="1" customWidth="1"/>
    <col min="11" max="11" width="10.69921875" style="1" bestFit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9" t="s">
        <v>105</v>
      </c>
      <c r="I2" s="30"/>
      <c r="J2" s="30"/>
      <c r="K2" s="3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32"/>
      <c r="I3" s="33"/>
      <c r="J3" s="33"/>
      <c r="K3" s="34"/>
    </row>
    <row r="4" spans="2:11" x14ac:dyDescent="0.25">
      <c r="B4" s="22" t="s">
        <v>1</v>
      </c>
      <c r="C4" s="22"/>
      <c r="D4" s="26" t="s">
        <v>105</v>
      </c>
      <c r="E4" s="27"/>
      <c r="F4" s="27"/>
      <c r="G4" s="27"/>
      <c r="H4" s="32"/>
      <c r="I4" s="33"/>
      <c r="J4" s="33"/>
      <c r="K4" s="34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32"/>
      <c r="I5" s="33"/>
      <c r="J5" s="33"/>
      <c r="K5" s="34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32"/>
      <c r="I6" s="33"/>
      <c r="J6" s="33"/>
      <c r="K6" s="34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35"/>
      <c r="I7" s="36"/>
      <c r="J7" s="36"/>
      <c r="K7" s="37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22.8" x14ac:dyDescent="0.25">
      <c r="B10" s="7" t="str">
        <f>IF(D10&lt;&gt;"","TC_ORD_"&amp;TEXT(COUNTIF($D$10:D10,"&lt;&gt;"),"000"),"")</f>
        <v>TC_ORD_001</v>
      </c>
      <c r="C10" s="6" t="s">
        <v>21</v>
      </c>
      <c r="D10" s="5" t="s">
        <v>269</v>
      </c>
      <c r="E10" s="5" t="s">
        <v>242</v>
      </c>
      <c r="F10" s="11" t="s">
        <v>243</v>
      </c>
      <c r="G10" s="10" t="s">
        <v>18</v>
      </c>
      <c r="H10" s="11" t="s">
        <v>244</v>
      </c>
      <c r="I10" s="11" t="s">
        <v>120</v>
      </c>
      <c r="J10" s="8"/>
      <c r="K10" s="9"/>
    </row>
    <row r="11" spans="2:11" ht="22.8" x14ac:dyDescent="0.25">
      <c r="B11" s="7" t="str">
        <f>IF(D11&lt;&gt;"","TC_ORD_"&amp;TEXT(COUNTIF($D$10:D11,"&lt;&gt;"),"000"),"")</f>
        <v>TC_ORD_002</v>
      </c>
      <c r="C11" s="8" t="s">
        <v>110</v>
      </c>
      <c r="D11" s="11" t="s">
        <v>89</v>
      </c>
      <c r="E11" s="11" t="s">
        <v>90</v>
      </c>
      <c r="F11" s="11" t="s">
        <v>245</v>
      </c>
      <c r="G11" s="10" t="s">
        <v>18</v>
      </c>
      <c r="H11" s="11" t="s">
        <v>91</v>
      </c>
      <c r="I11" s="11" t="s">
        <v>113</v>
      </c>
      <c r="J11" s="8"/>
      <c r="K11" s="9"/>
    </row>
    <row r="12" spans="2:11" ht="22.8" x14ac:dyDescent="0.25">
      <c r="B12" s="7" t="str">
        <f>IF(D12&lt;&gt;"","TC_ORD_"&amp;TEXT(COUNTIF($D$10:D12,"&lt;&gt;"),"000"),"")</f>
        <v>TC_ORD_003</v>
      </c>
      <c r="C12" s="8" t="s">
        <v>246</v>
      </c>
      <c r="D12" s="11" t="s">
        <v>247</v>
      </c>
      <c r="E12" s="11" t="s">
        <v>248</v>
      </c>
      <c r="F12" s="11" t="s">
        <v>243</v>
      </c>
      <c r="G12" s="10" t="s">
        <v>98</v>
      </c>
      <c r="H12" s="11" t="s">
        <v>249</v>
      </c>
      <c r="I12" s="11" t="s">
        <v>250</v>
      </c>
      <c r="J12" s="8"/>
      <c r="K12" s="9"/>
    </row>
    <row r="13" spans="2:11" ht="34.200000000000003" x14ac:dyDescent="0.25">
      <c r="B13" s="7" t="str">
        <f>IF(D13&lt;&gt;"","TC_ORD_"&amp;TEXT(COUNTIF($D$10:D13,"&lt;&gt;"),"000"),"")</f>
        <v>TC_ORD_004</v>
      </c>
      <c r="C13" s="8" t="s">
        <v>246</v>
      </c>
      <c r="D13" s="11" t="s">
        <v>254</v>
      </c>
      <c r="E13" s="11" t="s">
        <v>248</v>
      </c>
      <c r="F13" s="11" t="s">
        <v>92</v>
      </c>
      <c r="G13" s="10" t="s">
        <v>98</v>
      </c>
      <c r="H13" s="11" t="s">
        <v>252</v>
      </c>
      <c r="I13" s="11" t="s">
        <v>251</v>
      </c>
      <c r="J13" s="8"/>
      <c r="K13" s="9"/>
    </row>
    <row r="14" spans="2:11" ht="34.200000000000003" x14ac:dyDescent="0.25">
      <c r="B14" s="7" t="str">
        <f>IF(D14&lt;&gt;"","TC_ORD_"&amp;TEXT(COUNTIF($D$10:D14,"&lt;&gt;"),"000"),"")</f>
        <v>TC_ORD_005</v>
      </c>
      <c r="C14" s="8" t="s">
        <v>246</v>
      </c>
      <c r="D14" s="11" t="s">
        <v>253</v>
      </c>
      <c r="E14" s="11" t="s">
        <v>248</v>
      </c>
      <c r="F14" s="11" t="s">
        <v>93</v>
      </c>
      <c r="G14" s="10" t="s">
        <v>98</v>
      </c>
      <c r="H14" s="11" t="s">
        <v>94</v>
      </c>
      <c r="I14" s="11" t="s">
        <v>251</v>
      </c>
      <c r="J14" s="8"/>
      <c r="K14" s="9"/>
    </row>
    <row r="15" spans="2:11" ht="22.8" x14ac:dyDescent="0.25">
      <c r="B15" s="7" t="str">
        <f>IF(D15&lt;&gt;"","TC_ORD_"&amp;TEXT(COUNTIF($D$10:D15,"&lt;&gt;"),"000"),"")</f>
        <v>TC_ORD_006</v>
      </c>
      <c r="C15" s="8" t="s">
        <v>255</v>
      </c>
      <c r="D15" s="11" t="s">
        <v>95</v>
      </c>
      <c r="E15" s="11" t="s">
        <v>248</v>
      </c>
      <c r="F15" s="11" t="s">
        <v>260</v>
      </c>
      <c r="G15" s="10" t="s">
        <v>98</v>
      </c>
      <c r="H15" s="11" t="s">
        <v>96</v>
      </c>
      <c r="I15" s="11" t="s">
        <v>261</v>
      </c>
      <c r="J15" s="8"/>
      <c r="K15" s="9"/>
    </row>
    <row r="16" spans="2:11" ht="45.6" x14ac:dyDescent="0.25">
      <c r="B16" s="7" t="str">
        <f>IF(D16&lt;&gt;"","TC_ORD_"&amp;TEXT(COUNTIF($D$10:D16,"&lt;&gt;"),"000"),"")</f>
        <v>TC_ORD_007</v>
      </c>
      <c r="C16" s="8" t="s">
        <v>255</v>
      </c>
      <c r="D16" s="11" t="s">
        <v>264</v>
      </c>
      <c r="E16" s="11" t="s">
        <v>248</v>
      </c>
      <c r="F16" s="11" t="s">
        <v>97</v>
      </c>
      <c r="G16" s="10" t="s">
        <v>98</v>
      </c>
      <c r="H16" s="11" t="s">
        <v>257</v>
      </c>
      <c r="I16" s="11" t="s">
        <v>258</v>
      </c>
      <c r="J16" s="8"/>
      <c r="K16" s="9"/>
    </row>
    <row r="17" spans="2:11" ht="22.8" x14ac:dyDescent="0.25">
      <c r="B17" s="7" t="str">
        <f>IF(D17&lt;&gt;"","TC_ORD_"&amp;TEXT(COUNTIF($D$10:D17,"&lt;&gt;"),"000"),"")</f>
        <v>TC_ORD_008</v>
      </c>
      <c r="C17" s="8" t="s">
        <v>259</v>
      </c>
      <c r="D17" s="11" t="s">
        <v>99</v>
      </c>
      <c r="E17" s="11" t="s">
        <v>248</v>
      </c>
      <c r="F17" s="11" t="s">
        <v>262</v>
      </c>
      <c r="G17" s="10" t="s">
        <v>98</v>
      </c>
      <c r="H17" s="11" t="s">
        <v>100</v>
      </c>
      <c r="I17" s="11" t="s">
        <v>261</v>
      </c>
      <c r="J17" s="8"/>
      <c r="K17" s="9"/>
    </row>
    <row r="18" spans="2:11" ht="34.200000000000003" customHeight="1" x14ac:dyDescent="0.25">
      <c r="B18" s="9" t="str">
        <f>IF(D18&lt;&gt;"","TC_ORD_"&amp;TEXT(COUNTIF($D$10:D18,"&lt;&gt;"),"000"),"")</f>
        <v>TC_ORD_009</v>
      </c>
      <c r="C18" s="8" t="s">
        <v>259</v>
      </c>
      <c r="D18" s="11" t="s">
        <v>263</v>
      </c>
      <c r="E18" s="11" t="s">
        <v>248</v>
      </c>
      <c r="F18" s="11" t="s">
        <v>101</v>
      </c>
      <c r="G18" s="10" t="s">
        <v>102</v>
      </c>
      <c r="H18" s="11" t="s">
        <v>103</v>
      </c>
      <c r="I18" s="11" t="s">
        <v>56</v>
      </c>
      <c r="J18" s="8"/>
      <c r="K18" s="9"/>
    </row>
    <row r="19" spans="2:11" ht="22.8" x14ac:dyDescent="0.25">
      <c r="B19" s="9" t="str">
        <f>IF(D19&lt;&gt;"","TC_ORD_"&amp;TEXT(COUNTIF($D$10:D19,"&lt;&gt;"),"000"),"")</f>
        <v>TC_ORD_010</v>
      </c>
      <c r="C19" s="8" t="s">
        <v>266</v>
      </c>
      <c r="D19" s="11" t="s">
        <v>265</v>
      </c>
      <c r="E19" s="11" t="s">
        <v>256</v>
      </c>
      <c r="F19" s="11" t="s">
        <v>101</v>
      </c>
      <c r="G19" s="10" t="s">
        <v>102</v>
      </c>
      <c r="H19" s="11" t="s">
        <v>267</v>
      </c>
      <c r="I19" s="11" t="s">
        <v>268</v>
      </c>
      <c r="J19" s="8"/>
      <c r="K19" s="9"/>
    </row>
    <row r="31" spans="2:11" x14ac:dyDescent="0.25">
      <c r="D31" s="1" t="s">
        <v>36</v>
      </c>
    </row>
  </sheetData>
  <mergeCells count="13"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2:C2"/>
    <mergeCell ref="D2:G2"/>
  </mergeCells>
  <conditionalFormatting sqref="K10:K19">
    <cfRule type="containsText" dxfId="1" priority="70" operator="containsText" text="Fail">
      <formula>NOT(ISERROR(SEARCH("Fail",K10)))</formula>
    </cfRule>
    <cfRule type="containsText" dxfId="0" priority="71" stopIfTrue="1" operator="containsText" text="Pass">
      <formula>NOT(ISERROR(SEARCH("Pass",K10)))</formula>
    </cfRule>
    <cfRule type="colorScale" priority="72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0:K19" xr:uid="{C50499A8-228C-44E2-B794-9E6FD2E83550}">
      <formula1>"Pass, Fail"</formula1>
    </dataValidation>
  </dataValidations>
  <hyperlinks>
    <hyperlink ref="H2" r:id="rId1" xr:uid="{8DB1DF67-F5EE-4576-8504-321D8FEBF88E}"/>
    <hyperlink ref="D4" r:id="rId2" xr:uid="{3E769A64-65A4-4ED4-AC04-FB6BA96C175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Index</vt:lpstr>
      <vt:lpstr>Checkout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Now Ma</cp:lastModifiedBy>
  <dcterms:created xsi:type="dcterms:W3CDTF">2016-02-08T03:14:24Z</dcterms:created>
  <dcterms:modified xsi:type="dcterms:W3CDTF">2026-07-01T13:52:22Z</dcterms:modified>
</cp:coreProperties>
</file>